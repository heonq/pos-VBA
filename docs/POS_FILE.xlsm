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13_ncr:1_{C811D68E-B139-404F-9A5D-A1C372E69CD8}" xr6:coauthVersionLast="47" xr6:coauthVersionMax="47" xr10:uidLastSave="{00000000-0000-0000-0000-000000000000}"/>
  <bookViews>
    <workbookView xWindow="-98" yWindow="-98" windowWidth="26116" windowHeight="15675" activeTab="2" xr2:uid="{911AE3B3-AA20-4371-98A7-AF62E4CDC8CD}"/>
  </bookViews>
  <sheets>
    <sheet name="대시보드" sheetId="5" r:id="rId1"/>
    <sheet name="판매내역" sheetId="1" r:id="rId2"/>
    <sheet name="결제창" sheetId="2" r:id="rId3"/>
    <sheet name="데이터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" i="5"/>
  <c r="H2" i="5" l="1"/>
  <c r="D3" i="5"/>
  <c r="H3" i="5"/>
  <c r="G2" i="5"/>
  <c r="F3" i="5"/>
  <c r="M2" i="5"/>
  <c r="F2" i="5"/>
  <c r="I3" i="5"/>
  <c r="K3" i="5"/>
  <c r="E2" i="5"/>
  <c r="K2" i="5"/>
  <c r="C2" i="5"/>
  <c r="L3" i="5"/>
  <c r="L2" i="5"/>
  <c r="D2" i="5"/>
  <c r="E3" i="5"/>
  <c r="G3" i="5"/>
  <c r="J2" i="5"/>
  <c r="J3" i="5"/>
  <c r="C3" i="5"/>
  <c r="I2" i="5"/>
  <c r="M3" i="5"/>
</calcChain>
</file>

<file path=xl/sharedStrings.xml><?xml version="1.0" encoding="utf-8"?>
<sst xmlns="http://schemas.openxmlformats.org/spreadsheetml/2006/main" count="44" uniqueCount="39">
  <si>
    <t>나시</t>
    <phoneticPr fontId="1" type="noConversion"/>
  </si>
  <si>
    <t>볼캡</t>
    <phoneticPr fontId="1" type="noConversion"/>
  </si>
  <si>
    <t>양말</t>
    <phoneticPr fontId="1" type="noConversion"/>
  </si>
  <si>
    <t>가방</t>
    <phoneticPr fontId="1" type="noConversion"/>
  </si>
  <si>
    <t>결제방식</t>
    <phoneticPr fontId="1" type="noConversion"/>
  </si>
  <si>
    <t>총금액</t>
    <phoneticPr fontId="1" type="noConversion"/>
  </si>
  <si>
    <t>날짜</t>
    <phoneticPr fontId="1" type="noConversion"/>
  </si>
  <si>
    <t>카드결제</t>
    <phoneticPr fontId="1" type="noConversion"/>
  </si>
  <si>
    <t>현금결제</t>
    <phoneticPr fontId="1" type="noConversion"/>
  </si>
  <si>
    <t>계좌이체</t>
    <phoneticPr fontId="1" type="noConversion"/>
  </si>
  <si>
    <t>기타</t>
    <phoneticPr fontId="1" type="noConversion"/>
  </si>
  <si>
    <t>기타사유</t>
    <phoneticPr fontId="1" type="noConversion"/>
  </si>
  <si>
    <t>총 판매액</t>
    <phoneticPr fontId="1" type="noConversion"/>
  </si>
  <si>
    <t>카드 총 판매액</t>
    <phoneticPr fontId="1" type="noConversion"/>
  </si>
  <si>
    <t>현금 총 판매액</t>
    <phoneticPr fontId="1" type="noConversion"/>
  </si>
  <si>
    <t>계좌이체 총 판매액</t>
    <phoneticPr fontId="1" type="noConversion"/>
  </si>
  <si>
    <t>최종 판매번호</t>
    <phoneticPr fontId="1" type="noConversion"/>
  </si>
  <si>
    <t>날짜</t>
  </si>
  <si>
    <t>나시</t>
  </si>
  <si>
    <t>볼캡</t>
  </si>
  <si>
    <t>양말</t>
  </si>
  <si>
    <t>가방</t>
  </si>
  <si>
    <t>번호</t>
  </si>
  <si>
    <t>총금액</t>
  </si>
  <si>
    <t>결제방식</t>
  </si>
  <si>
    <t>비고</t>
  </si>
  <si>
    <t>시간</t>
  </si>
  <si>
    <t>확인</t>
  </si>
  <si>
    <t>바람막이 블랙</t>
  </si>
  <si>
    <t>바람막이 블랙</t>
    <phoneticPr fontId="1" type="noConversion"/>
  </si>
  <si>
    <t>바람막이 실버</t>
  </si>
  <si>
    <t>바람막이 실버</t>
    <phoneticPr fontId="1" type="noConversion"/>
  </si>
  <si>
    <t>반팔 라지</t>
  </si>
  <si>
    <t>반팔 라지</t>
    <phoneticPr fontId="1" type="noConversion"/>
  </si>
  <si>
    <t>반팔 스몰</t>
  </si>
  <si>
    <t>반팔 스몰</t>
    <phoneticPr fontId="1" type="noConversion"/>
  </si>
  <si>
    <t>반팔 스몰</t>
    <phoneticPr fontId="1" type="noConversion"/>
  </si>
  <si>
    <t>바람막이
블랙</t>
    <phoneticPr fontId="1" type="noConversion"/>
  </si>
  <si>
    <t>바람막이
실버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</si>
</sst>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mm&quot;월&quot;\ dd&quot;일&quot;"/>
    <numFmt numFmtId="179" formatCode="hh:mm"/>
  </numFmts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48"/>
      <color theme="1"/>
      <name val="맑은 고딕"/>
      <family val="2"/>
      <charset val="129"/>
      <scheme val="minor"/>
    </font>
    <font>
      <u/>
      <sz val="12"/>
      <color theme="10"/>
      <name val="맑은 고딕"/>
      <family val="2"/>
      <charset val="129"/>
      <scheme val="minor"/>
    </font>
    <font>
      <sz val="26"/>
      <color theme="1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2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4" xfId="0" applyBorder="1" applyAlignment="1">
      <alignment horizontal="center" vertical="center"/>
    </xf>
    <xf numFmtId="176" fontId="0" fillId="0" borderId="0" xfId="0" applyNumberFormat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176" fontId="2" fillId="0" borderId="9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2" fillId="0" borderId="13" xfId="0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20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0" fontId="7" fillId="0" borderId="7" xfId="1" applyNumberFormat="1" applyFont="1" applyBorder="1" applyAlignment="1">
      <alignment horizontal="center" vertical="center"/>
    </xf>
    <xf numFmtId="0" fontId="7" fillId="0" borderId="6" xfId="1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519113</xdr:rowOff>
        </xdr:from>
        <xdr:to>
          <xdr:col>10</xdr:col>
          <xdr:colOff>804863</xdr:colOff>
          <xdr:row>2</xdr:row>
          <xdr:rowOff>966788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938213</xdr:rowOff>
        </xdr:from>
        <xdr:to>
          <xdr:col>10</xdr:col>
          <xdr:colOff>804863</xdr:colOff>
          <xdr:row>2</xdr:row>
          <xdr:rowOff>1395413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결제완료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0</xdr:row>
          <xdr:rowOff>571500</xdr:rowOff>
        </xdr:from>
        <xdr:to>
          <xdr:col>10</xdr:col>
          <xdr:colOff>804863</xdr:colOff>
          <xdr:row>1</xdr:row>
          <xdr:rowOff>338138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카드결제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342900</xdr:rowOff>
        </xdr:from>
        <xdr:to>
          <xdr:col>10</xdr:col>
          <xdr:colOff>804863</xdr:colOff>
          <xdr:row>1</xdr:row>
          <xdr:rowOff>700088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현금결제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671513</xdr:rowOff>
        </xdr:from>
        <xdr:to>
          <xdr:col>10</xdr:col>
          <xdr:colOff>804863</xdr:colOff>
          <xdr:row>1</xdr:row>
          <xdr:rowOff>1028700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계좌이체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1004888</xdr:rowOff>
        </xdr:from>
        <xdr:to>
          <xdr:col>10</xdr:col>
          <xdr:colOff>804863</xdr:colOff>
          <xdr:row>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1395413</xdr:rowOff>
        </xdr:from>
        <xdr:to>
          <xdr:col>10</xdr:col>
          <xdr:colOff>804863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셀고정/풀기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1081088</xdr:colOff>
          <xdr:row>0</xdr:row>
          <xdr:rowOff>23813</xdr:rowOff>
        </xdr:from>
        <xdr:to>
          <xdr:col>0</xdr:col>
          <xdr:colOff>1338263</xdr:colOff>
          <xdr:row>0</xdr:row>
          <xdr:rowOff>590550</xdr:rowOff>
        </xdr:to>
        <xdr:sp macro="" textlink="">
          <xdr:nvSpPr>
            <xdr:cNvPr id="1048" name="halfSleeveLargeSpinButto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0</xdr:row>
          <xdr:rowOff>14288</xdr:rowOff>
        </xdr:from>
        <xdr:to>
          <xdr:col>4</xdr:col>
          <xdr:colOff>1338263</xdr:colOff>
          <xdr:row>0</xdr:row>
          <xdr:rowOff>585788</xdr:rowOff>
        </xdr:to>
        <xdr:sp macro="" textlink="">
          <xdr:nvSpPr>
            <xdr:cNvPr id="1049" name="slvlessSpin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19050</xdr:rowOff>
        </xdr:from>
        <xdr:to>
          <xdr:col>5</xdr:col>
          <xdr:colOff>1319213</xdr:colOff>
          <xdr:row>0</xdr:row>
          <xdr:rowOff>581025</xdr:rowOff>
        </xdr:to>
        <xdr:sp macro="" textlink="">
          <xdr:nvSpPr>
            <xdr:cNvPr id="1051" name="ballCapSpinButton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1081088</xdr:colOff>
          <xdr:row>0</xdr:row>
          <xdr:rowOff>33338</xdr:rowOff>
        </xdr:from>
        <xdr:to>
          <xdr:col>6</xdr:col>
          <xdr:colOff>1328738</xdr:colOff>
          <xdr:row>0</xdr:row>
          <xdr:rowOff>576263</xdr:rowOff>
        </xdr:to>
        <xdr:sp macro="" textlink="">
          <xdr:nvSpPr>
            <xdr:cNvPr id="1053" name="socksSpinButton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1038225</xdr:colOff>
          <xdr:row>0</xdr:row>
          <xdr:rowOff>4763</xdr:rowOff>
        </xdr:from>
        <xdr:to>
          <xdr:col>7</xdr:col>
          <xdr:colOff>1314450</xdr:colOff>
          <xdr:row>0</xdr:row>
          <xdr:rowOff>590550</xdr:rowOff>
        </xdr:to>
        <xdr:sp macro="" textlink="">
          <xdr:nvSpPr>
            <xdr:cNvPr id="1055" name="stringBag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0</xdr:row>
          <xdr:rowOff>23813</xdr:rowOff>
        </xdr:from>
        <xdr:to>
          <xdr:col>1</xdr:col>
          <xdr:colOff>1338263</xdr:colOff>
          <xdr:row>0</xdr:row>
          <xdr:rowOff>590550</xdr:rowOff>
        </xdr:to>
        <xdr:sp macro="" textlink="">
          <xdr:nvSpPr>
            <xdr:cNvPr id="1056" name="halfSleeveSmallSpin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1100138</xdr:colOff>
          <xdr:row>0</xdr:row>
          <xdr:rowOff>23813</xdr:rowOff>
        </xdr:from>
        <xdr:to>
          <xdr:col>2</xdr:col>
          <xdr:colOff>1338263</xdr:colOff>
          <xdr:row>0</xdr:row>
          <xdr:rowOff>590550</xdr:rowOff>
        </xdr:to>
        <xdr:sp macro="" textlink="">
          <xdr:nvSpPr>
            <xdr:cNvPr id="1058" name="windBreakerBlackSpinButton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1066800</xdr:colOff>
          <xdr:row>0</xdr:row>
          <xdr:rowOff>23813</xdr:rowOff>
        </xdr:from>
        <xdr:to>
          <xdr:col>3</xdr:col>
          <xdr:colOff>1338263</xdr:colOff>
          <xdr:row>0</xdr:row>
          <xdr:rowOff>590550</xdr:rowOff>
        </xdr:to>
        <xdr:sp macro="" textlink="">
          <xdr:nvSpPr>
            <xdr:cNvPr id="1060" name="windBreakerSilverSpinButt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2EA6-7C67-41D1-B254-4EC49AB7A55D}">
  <sheetPr codeName="Sheet4"/>
  <dimension ref="A1:S12"/>
  <sheetViews>
    <sheetView workbookViewId="0">
      <selection activeCell="B2" sqref="B2"/>
    </sheetView>
  </sheetViews>
  <sheetFormatPr defaultColWidth="8.71875" defaultRowHeight="19.149999999999999" x14ac:dyDescent="0.7"/>
  <cols>
    <col min="1" max="1" width="10.44140625" bestFit="1" customWidth="1"/>
    <col min="7" max="7" width="9" bestFit="1" customWidth="1"/>
    <col min="9" max="9" width="9.38671875" bestFit="1" customWidth="1"/>
    <col min="10" max="10" width="14.27734375" customWidth="1"/>
    <col min="11" max="12" width="13" bestFit="1" customWidth="1"/>
    <col min="13" max="13" width="16.71875" bestFit="1" customWidth="1"/>
    <col min="17" max="17" width="15.71875" bestFit="1" customWidth="1"/>
    <col min="18" max="18" width="15.71875" style="10" customWidth="1"/>
    <col min="19" max="19" width="10.44140625" customWidth="1"/>
  </cols>
  <sheetData>
    <row r="1" spans="1:19" ht="38.25" x14ac:dyDescent="0.7">
      <c r="A1" s="8" t="s">
        <v>6</v>
      </c>
      <c r="B1" s="7" t="s">
        <v>33</v>
      </c>
      <c r="C1" s="7" t="s">
        <v>36</v>
      </c>
      <c r="D1" s="7" t="s">
        <v>0</v>
      </c>
      <c r="E1" s="7" t="s">
        <v>1</v>
      </c>
      <c r="F1" s="7" t="s">
        <v>2</v>
      </c>
      <c r="G1" s="7" t="s">
        <v>3</v>
      </c>
      <c r="H1" s="20" t="s">
        <v>37</v>
      </c>
      <c r="I1" s="20" t="s">
        <v>38</v>
      </c>
      <c r="J1" s="7" t="s">
        <v>12</v>
      </c>
      <c r="K1" s="7" t="s">
        <v>13</v>
      </c>
      <c r="L1" s="7" t="s">
        <v>14</v>
      </c>
      <c r="M1" s="7" t="s">
        <v>15</v>
      </c>
      <c r="P1" s="7"/>
    </row>
    <row r="2" spans="1:19" x14ac:dyDescent="0.7">
      <c r="A2" s="5"/>
      <c r="B2">
        <f>SUMIFS(판매내역!B:B,판매내역!$K:$K,"&lt;&gt;"&amp;"기타",판매내역!$M:$M,$A$2)</f>
        <v>0</v>
      </c>
      <c r="C2">
        <f>SUMIFS(판매내역!C:C,판매내역!$K:$K,"&lt;&gt;"&amp;"기타",판매내역!$M:$M,$A$2)</f>
        <v>0</v>
      </c>
      <c r="D2">
        <f>SUMIFS(판매내역!D:D,판매내역!$K:$K,"&lt;&gt;"&amp;"기타",판매내역!$M:$M,$A$2)</f>
        <v>0</v>
      </c>
      <c r="E2">
        <f>SUMIFS(판매내역!E:E,판매내역!$K:$K,"&lt;&gt;"&amp;"기타",판매내역!$M:$M,$A$2)</f>
        <v>0</v>
      </c>
      <c r="F2">
        <f>SUMIFS(판매내역!F:F,판매내역!$K:$K,"&lt;&gt;"&amp;"기타",판매내역!$M:$M,$A$2)</f>
        <v>0</v>
      </c>
      <c r="G2">
        <f>SUMIFS(판매내역!G:G,판매내역!$K:$K,"&lt;&gt;"&amp;"기타",판매내역!$M:$M,$A$2)</f>
        <v>0</v>
      </c>
      <c r="H2">
        <f>SUMIFS(판매내역!H:H,판매내역!$K:$K,"&lt;&gt;"&amp;"기타",판매내역!$M:$M,$A$2)</f>
        <v>0</v>
      </c>
      <c r="I2">
        <f>SUMIFS(판매내역!I:I,판매내역!$K:$K,"&lt;&gt;"&amp;"기타",판매내역!$M:$M,$A$2)</f>
        <v>0</v>
      </c>
      <c r="J2" s="10">
        <f>SUMIFS(판매내역!J:J,판매내역!K:K,"&lt;&gt;"&amp;"기타",판매내역!M:M,A2)</f>
        <v>0</v>
      </c>
      <c r="K2" s="10">
        <f>SUMIFS(판매내역!$J:$J,판매내역!$K:$K,"&lt;&gt;"&amp;"기타",판매내역!$M:$M,$A$2,판매내역!$K:$K,"카드결제")</f>
        <v>0</v>
      </c>
      <c r="L2" s="10">
        <f>SUMIFS(판매내역!$J:$J,판매내역!$K:$K,"&lt;&gt;"&amp;"기타",판매내역!$M:$M,$A$2,판매내역!$K:$K,"현금결제")</f>
        <v>0</v>
      </c>
      <c r="M2" s="10">
        <f>SUMIFS(판매내역!$J:$J,판매내역!$K:$K,"&lt;&gt;"&amp;"기타",판매내역!$M:$M,$A2,판매내역!$K:$K,"계좌이체")</f>
        <v>0</v>
      </c>
      <c r="Q2" s="23"/>
      <c r="S2" s="10"/>
    </row>
    <row r="3" spans="1:19" x14ac:dyDescent="0.7">
      <c r="A3" s="5"/>
      <c r="B3">
        <f>SUMIFS(판매내역!B:B,판매내역!$K:$K,"&lt;&gt;"&amp;"기타",판매내역!$M:$M,$A3)</f>
        <v>0</v>
      </c>
      <c r="C3">
        <f>SUMIFS(판매내역!C:C,판매내역!$K:$K,"&lt;&gt;"&amp;"기타",판매내역!$M:$M,$A3)</f>
        <v>0</v>
      </c>
      <c r="D3">
        <f>SUMIFS(판매내역!D:D,판매내역!$K:$K,"&lt;&gt;"&amp;"기타",판매내역!$M:$M,$A3)</f>
        <v>0</v>
      </c>
      <c r="E3">
        <f>SUMIFS(판매내역!E:E,판매내역!$K:$K,"&lt;&gt;"&amp;"기타",판매내역!$M:$M,$A3)</f>
        <v>0</v>
      </c>
      <c r="F3">
        <f>SUMIFS(판매내역!F:F,판매내역!$K:$K,"&lt;&gt;"&amp;"기타",판매내역!$M:$M,$A3)</f>
        <v>0</v>
      </c>
      <c r="G3">
        <f>SUMIFS(판매내역!G:G,판매내역!$K:$K,"&lt;&gt;"&amp;"기타",판매내역!$M:$M,$A3)</f>
        <v>0</v>
      </c>
      <c r="H3">
        <f>SUMIFS(판매내역!H:H,판매내역!$K:$K,"&lt;&gt;"&amp;"기타",판매내역!$M:$M,$A3)</f>
        <v>0</v>
      </c>
      <c r="I3">
        <f>SUMIFS(판매내역!I:I,판매내역!$K:$K,"&lt;&gt;"&amp;"기타",판매내역!$M:$M,$A3)</f>
        <v>0</v>
      </c>
      <c r="J3" s="10">
        <f>SUMIFS(판매내역!J:J,판매내역!K:K,"&lt;&gt;"&amp;"기타",판매내역!M:M,A3)</f>
        <v>0</v>
      </c>
      <c r="K3" s="10">
        <f>SUMIFS(판매내역!$J:$J,판매내역!$K:$K,"&lt;&gt;"&amp;"기타",판매내역!$M:$M,$A$3,판매내역!$K:$K,"카드결제")</f>
        <v>0</v>
      </c>
      <c r="L3" s="10">
        <f>SUMIFS(판매내역!$J:$J,판매내역!$K:$K,"&lt;&gt;"&amp;"기타",판매내역!$M:$M,$A$3,판매내역!$K:$K,"현금결제")</f>
        <v>0</v>
      </c>
      <c r="M3" s="10">
        <f>SUMIFS(판매내역!$J:$J,판매내역!$K:$K,"&lt;&gt;"&amp;"기타",판매내역!$M:$M,$A3,판매내역!$K:$K,"계좌이체")</f>
        <v>0</v>
      </c>
      <c r="Q3" s="11"/>
      <c r="S3" s="10"/>
    </row>
    <row r="4" spans="1:19" ht="78.75" customHeight="1" x14ac:dyDescent="0.7">
      <c r="J4" s="10"/>
      <c r="K4" s="12"/>
      <c r="L4" s="12"/>
      <c r="M4" s="10"/>
      <c r="O4" s="12"/>
      <c r="Q4" s="23"/>
      <c r="S4" s="10"/>
    </row>
    <row r="5" spans="1:19" ht="89" customHeight="1" x14ac:dyDescent="0.7">
      <c r="J5" s="10"/>
      <c r="M5" s="10"/>
      <c r="Q5" s="23"/>
      <c r="S5" s="10"/>
    </row>
    <row r="6" spans="1:19" x14ac:dyDescent="0.7">
      <c r="J6" s="10"/>
    </row>
    <row r="7" spans="1:19" x14ac:dyDescent="0.7">
      <c r="J7" s="10"/>
    </row>
    <row r="11" spans="1:19" x14ac:dyDescent="0.7">
      <c r="I11" s="10"/>
    </row>
    <row r="12" spans="1:19" x14ac:dyDescent="0.7">
      <c r="I12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C9CC-3FE2-4E97-BA23-AB6BACC8627C}">
  <sheetPr codeName="Sheet1"/>
  <dimension ref="A1:Q1"/>
  <sheetViews>
    <sheetView zoomScaleNormal="100" workbookViewId="0">
      <selection activeCell="A2" sqref="A2"/>
    </sheetView>
  </sheetViews>
  <sheetFormatPr defaultColWidth="8.71875" defaultRowHeight="19.149999999999999" x14ac:dyDescent="0.7"/>
  <cols>
    <col min="1" max="1" width="10.5" style="1" bestFit="1" customWidth="1"/>
    <col min="2" max="2" width="10.5" style="1" customWidth="1"/>
    <col min="3" max="7" width="8.71875" style="1"/>
    <col min="8" max="9" width="12.38671875" style="1" bestFit="1" customWidth="1"/>
    <col min="10" max="10" width="10.38671875" style="13" bestFit="1" customWidth="1"/>
    <col min="11" max="11" width="13.109375" style="1" bestFit="1" customWidth="1"/>
    <col min="12" max="12" width="22.5546875" style="1" bestFit="1" customWidth="1"/>
    <col min="13" max="13" width="17.1640625" style="1" customWidth="1"/>
    <col min="14" max="14" width="14.33203125" style="24" bestFit="1" customWidth="1"/>
    <col min="15" max="15" width="4.5546875" style="1" bestFit="1" customWidth="1"/>
    <col min="16" max="16" width="27.6640625" style="1" bestFit="1" customWidth="1"/>
    <col min="17" max="16384" width="8.71875" style="1"/>
  </cols>
  <sheetData>
    <row r="1" spans="1:17" x14ac:dyDescent="0.7">
      <c r="A1" s="1" t="s">
        <v>22</v>
      </c>
      <c r="B1" s="1" t="s">
        <v>32</v>
      </c>
      <c r="C1" s="1" t="s">
        <v>34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28</v>
      </c>
      <c r="I1" s="1" t="s">
        <v>30</v>
      </c>
      <c r="J1" s="13" t="s">
        <v>23</v>
      </c>
      <c r="K1" s="1" t="s">
        <v>24</v>
      </c>
      <c r="L1" s="1" t="s">
        <v>25</v>
      </c>
      <c r="M1" s="6" t="s">
        <v>17</v>
      </c>
      <c r="N1" s="24" t="s">
        <v>26</v>
      </c>
      <c r="O1" s="1" t="s">
        <v>27</v>
      </c>
      <c r="Q1" s="6"/>
    </row>
  </sheetData>
  <dataConsolidate/>
  <phoneticPr fontId="1" type="noConversion"/>
  <pageMargins left="0.7" right="0.7" top="0.75" bottom="0.75" header="0.3" footer="0.3"/>
  <pageSetup paperSize="256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0A468-05D8-4B0F-9785-95105F8FAE79}">
  <sheetPr codeName="Sheet2"/>
  <dimension ref="A1:M7"/>
  <sheetViews>
    <sheetView tabSelected="1" zoomScale="94" zoomScaleNormal="94" workbookViewId="0">
      <selection activeCell="A3" sqref="A3:J3"/>
    </sheetView>
  </sheetViews>
  <sheetFormatPr defaultColWidth="8.71875" defaultRowHeight="19.149999999999999" x14ac:dyDescent="0.7"/>
  <cols>
    <col min="1" max="8" width="15.71875" customWidth="1"/>
    <col min="9" max="9" width="36.609375" customWidth="1"/>
    <col min="10" max="10" width="18.27734375" customWidth="1"/>
    <col min="11" max="11" width="11.44140625" customWidth="1"/>
  </cols>
  <sheetData>
    <row r="1" spans="1:13" ht="47.25" customHeight="1" x14ac:dyDescent="0.7">
      <c r="A1" s="2" t="s">
        <v>33</v>
      </c>
      <c r="B1" s="14" t="s">
        <v>35</v>
      </c>
      <c r="C1" s="21" t="s">
        <v>29</v>
      </c>
      <c r="D1" s="22" t="s">
        <v>31</v>
      </c>
      <c r="E1" s="3" t="s">
        <v>0</v>
      </c>
      <c r="F1" s="3" t="s">
        <v>1</v>
      </c>
      <c r="G1" s="3" t="s">
        <v>2</v>
      </c>
      <c r="H1" s="3" t="s">
        <v>3</v>
      </c>
      <c r="I1" s="3" t="s">
        <v>5</v>
      </c>
      <c r="J1" s="4" t="s">
        <v>4</v>
      </c>
      <c r="L1" s="9"/>
    </row>
    <row r="2" spans="1:13" ht="108" customHeight="1" thickBot="1" x14ac:dyDescent="0.75">
      <c r="A2" s="15">
        <v>0</v>
      </c>
      <c r="B2" s="15">
        <v>0</v>
      </c>
      <c r="C2" s="15">
        <v>0</v>
      </c>
      <c r="D2" s="19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7"/>
    </row>
    <row r="3" spans="1:13" ht="145.25" customHeight="1" thickBot="1" x14ac:dyDescent="0.75">
      <c r="A3" s="25"/>
      <c r="B3" s="26"/>
      <c r="C3" s="26"/>
      <c r="D3" s="26"/>
      <c r="E3" s="27"/>
      <c r="F3" s="27"/>
      <c r="G3" s="27"/>
      <c r="H3" s="27"/>
      <c r="I3" s="27"/>
      <c r="J3" s="28"/>
    </row>
    <row r="4" spans="1:13" ht="67.25" customHeight="1" thickBot="1" x14ac:dyDescent="0.75">
      <c r="A4" s="18" t="s">
        <v>16</v>
      </c>
      <c r="B4" s="1">
        <v>1</v>
      </c>
      <c r="C4" s="1"/>
      <c r="D4" s="1"/>
      <c r="E4" s="1"/>
    </row>
    <row r="5" spans="1:13" s="1" customFormat="1" ht="44.25" customHeight="1" x14ac:dyDescent="0.7">
      <c r="E5" s="7"/>
      <c r="F5" s="7"/>
      <c r="G5" s="7"/>
      <c r="H5" s="7"/>
      <c r="I5" s="7"/>
      <c r="J5" s="7"/>
      <c r="K5" s="7"/>
      <c r="L5" s="7"/>
      <c r="M5" s="7"/>
    </row>
    <row r="6" spans="1:13" s="1" customFormat="1" ht="44.25" customHeight="1" x14ac:dyDescent="0.7">
      <c r="A6" s="6"/>
      <c r="B6" s="6"/>
      <c r="C6" s="6"/>
      <c r="D6" s="6"/>
    </row>
    <row r="7" spans="1:13" s="1" customFormat="1" ht="44.25" customHeight="1" x14ac:dyDescent="0.7">
      <c r="A7" s="6"/>
      <c r="B7" s="6"/>
      <c r="C7" s="6"/>
      <c r="D7" s="6"/>
    </row>
  </sheetData>
  <dataConsolidate/>
  <mergeCells count="1">
    <mergeCell ref="A3:J3"/>
  </mergeCells>
  <phoneticPr fontId="1" type="noConversion"/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60" r:id="rId4" name="windBreakerSilverSpinButton">
          <controlPr defaultSize="0" autoLine="0" autoPict="0" r:id="rId5">
            <anchor moveWithCells="1">
              <from>
                <xdr:col>3</xdr:col>
                <xdr:colOff>1066800</xdr:colOff>
                <xdr:row>0</xdr:row>
                <xdr:rowOff>23813</xdr:rowOff>
              </from>
              <to>
                <xdr:col>3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60" r:id="rId4" name="windBreakerSilverSpinButton"/>
      </mc:Fallback>
    </mc:AlternateContent>
    <mc:AlternateContent xmlns:mc="http://schemas.openxmlformats.org/markup-compatibility/2006">
      <mc:Choice Requires="x14">
        <control shapeId="1048" r:id="rId6" name="halfSleeveLargeSpinButton">
          <controlPr defaultSize="0" autoLine="0" autoPict="0" r:id="rId7">
            <anchor moveWithCells="1">
              <from>
                <xdr:col>0</xdr:col>
                <xdr:colOff>1081088</xdr:colOff>
                <xdr:row>0</xdr:row>
                <xdr:rowOff>23813</xdr:rowOff>
              </from>
              <to>
                <xdr:col>0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48" r:id="rId6" name="halfSleeveLargeSpinButton"/>
      </mc:Fallback>
    </mc:AlternateContent>
    <mc:AlternateContent xmlns:mc="http://schemas.openxmlformats.org/markup-compatibility/2006">
      <mc:Choice Requires="x14">
        <control shapeId="1049" r:id="rId8" name="slvlessSpinButton">
          <controlPr locked="0" defaultSize="0" autoLine="0" autoPict="0" r:id="rId9">
            <anchor moveWithCells="1">
              <from>
                <xdr:col>4</xdr:col>
                <xdr:colOff>1066800</xdr:colOff>
                <xdr:row>0</xdr:row>
                <xdr:rowOff>14288</xdr:rowOff>
              </from>
              <to>
                <xdr:col>4</xdr:col>
                <xdr:colOff>1338263</xdr:colOff>
                <xdr:row>0</xdr:row>
                <xdr:rowOff>585788</xdr:rowOff>
              </to>
            </anchor>
          </controlPr>
        </control>
      </mc:Choice>
      <mc:Fallback>
        <control shapeId="1049" r:id="rId8" name="slvlessSpinButton"/>
      </mc:Fallback>
    </mc:AlternateContent>
    <mc:AlternateContent xmlns:mc="http://schemas.openxmlformats.org/markup-compatibility/2006">
      <mc:Choice Requires="x14">
        <control shapeId="1051" r:id="rId10" name="ballCapSpinButton">
          <controlPr defaultSize="0" autoLine="0" autoPict="0" r:id="rId11">
            <anchor moveWithCells="1">
              <from>
                <xdr:col>5</xdr:col>
                <xdr:colOff>1085850</xdr:colOff>
                <xdr:row>0</xdr:row>
                <xdr:rowOff>19050</xdr:rowOff>
              </from>
              <to>
                <xdr:col>5</xdr:col>
                <xdr:colOff>1319213</xdr:colOff>
                <xdr:row>0</xdr:row>
                <xdr:rowOff>581025</xdr:rowOff>
              </to>
            </anchor>
          </controlPr>
        </control>
      </mc:Choice>
      <mc:Fallback>
        <control shapeId="1051" r:id="rId10" name="ballCapSpinButton"/>
      </mc:Fallback>
    </mc:AlternateContent>
    <mc:AlternateContent xmlns:mc="http://schemas.openxmlformats.org/markup-compatibility/2006">
      <mc:Choice Requires="x14">
        <control shapeId="1053" r:id="rId12" name="socksSpinButton">
          <controlPr defaultSize="0" autoLine="0" autoPict="0" r:id="rId13">
            <anchor moveWithCells="1">
              <from>
                <xdr:col>6</xdr:col>
                <xdr:colOff>1081088</xdr:colOff>
                <xdr:row>0</xdr:row>
                <xdr:rowOff>33338</xdr:rowOff>
              </from>
              <to>
                <xdr:col>6</xdr:col>
                <xdr:colOff>1328738</xdr:colOff>
                <xdr:row>0</xdr:row>
                <xdr:rowOff>576263</xdr:rowOff>
              </to>
            </anchor>
          </controlPr>
        </control>
      </mc:Choice>
      <mc:Fallback>
        <control shapeId="1053" r:id="rId12" name="socksSpinButton"/>
      </mc:Fallback>
    </mc:AlternateContent>
    <mc:AlternateContent xmlns:mc="http://schemas.openxmlformats.org/markup-compatibility/2006">
      <mc:Choice Requires="x14">
        <control shapeId="1055" r:id="rId14" name="stringBagButton">
          <controlPr defaultSize="0" autoLine="0" autoPict="0" r:id="rId15">
            <anchor moveWithCells="1">
              <from>
                <xdr:col>7</xdr:col>
                <xdr:colOff>1038225</xdr:colOff>
                <xdr:row>0</xdr:row>
                <xdr:rowOff>4763</xdr:rowOff>
              </from>
              <to>
                <xdr:col>7</xdr:col>
                <xdr:colOff>1314450</xdr:colOff>
                <xdr:row>0</xdr:row>
                <xdr:rowOff>590550</xdr:rowOff>
              </to>
            </anchor>
          </controlPr>
        </control>
      </mc:Choice>
      <mc:Fallback>
        <control shapeId="1055" r:id="rId14" name="stringBagButton"/>
      </mc:Fallback>
    </mc:AlternateContent>
    <mc:AlternateContent xmlns:mc="http://schemas.openxmlformats.org/markup-compatibility/2006">
      <mc:Choice Requires="x14">
        <control shapeId="1056" r:id="rId16" name="halfSleeveSmallSpinButton">
          <controlPr defaultSize="0" autoLine="0" autoPict="0" r:id="rId17">
            <anchor moveWithCells="1">
              <from>
                <xdr:col>1</xdr:col>
                <xdr:colOff>1104900</xdr:colOff>
                <xdr:row>0</xdr:row>
                <xdr:rowOff>23813</xdr:rowOff>
              </from>
              <to>
                <xdr:col>1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56" r:id="rId16" name="halfSleeveSmallSpinButton"/>
      </mc:Fallback>
    </mc:AlternateContent>
    <mc:AlternateContent xmlns:mc="http://schemas.openxmlformats.org/markup-compatibility/2006">
      <mc:Choice Requires="x14">
        <control shapeId="1058" r:id="rId18" name="windBreakerBlackSpinButton">
          <controlPr defaultSize="0" autoLine="0" autoPict="0" r:id="rId19">
            <anchor moveWithCells="1">
              <from>
                <xdr:col>2</xdr:col>
                <xdr:colOff>1100138</xdr:colOff>
                <xdr:row>0</xdr:row>
                <xdr:rowOff>23813</xdr:rowOff>
              </from>
              <to>
                <xdr:col>2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58" r:id="rId18" name="windBreakerBlackSpinButton"/>
      </mc:Fallback>
    </mc:AlternateContent>
    <mc:AlternateContent xmlns:mc="http://schemas.openxmlformats.org/markup-compatibility/2006">
      <mc:Choice Requires="x14">
        <control shapeId="1030" r:id="rId20" name="Button 6">
          <controlPr defaultSize="0" print="0" autoFill="0" autoPict="0" macro="[0]!init">
            <anchor moveWithCells="1">
              <from>
                <xdr:col>10</xdr:col>
                <xdr:colOff>14288</xdr:colOff>
                <xdr:row>2</xdr:row>
                <xdr:rowOff>519113</xdr:rowOff>
              </from>
              <to>
                <xdr:col>10</xdr:col>
                <xdr:colOff>804863</xdr:colOff>
                <xdr:row>2</xdr:row>
                <xdr:rowOff>966788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Button 7">
          <controlPr defaultSize="0" print="0" autoFill="0" autoPict="0" macro="[0]!arrangeSalesHistory">
            <anchor moveWithCells="1">
              <from>
                <xdr:col>10</xdr:col>
                <xdr:colOff>14288</xdr:colOff>
                <xdr:row>2</xdr:row>
                <xdr:rowOff>938213</xdr:rowOff>
              </from>
              <to>
                <xdr:col>10</xdr:col>
                <xdr:colOff>804863</xdr:colOff>
                <xdr:row>2</xdr:row>
                <xdr:rowOff>1395413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Button 18">
          <controlPr defaultSize="0" print="0" autoFill="0" autoPict="0" macro="[0]!payByCard">
            <anchor moveWithCells="1">
              <from>
                <xdr:col>10</xdr:col>
                <xdr:colOff>23813</xdr:colOff>
                <xdr:row>0</xdr:row>
                <xdr:rowOff>571500</xdr:rowOff>
              </from>
              <to>
                <xdr:col>10</xdr:col>
                <xdr:colOff>804863</xdr:colOff>
                <xdr:row>1</xdr:row>
                <xdr:rowOff>338138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3" name="Button 19">
          <controlPr defaultSize="0" print="0" autoFill="0" autoPict="0" macro="[0]!payByCash">
            <anchor moveWithCells="1">
              <from>
                <xdr:col>10</xdr:col>
                <xdr:colOff>23813</xdr:colOff>
                <xdr:row>1</xdr:row>
                <xdr:rowOff>342900</xdr:rowOff>
              </from>
              <to>
                <xdr:col>10</xdr:col>
                <xdr:colOff>804863</xdr:colOff>
                <xdr:row>1</xdr:row>
                <xdr:rowOff>700088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Button 20">
          <controlPr defaultSize="0" print="0" autoFill="0" autoPict="0" macro="[0]!payByWire">
            <anchor moveWithCells="1">
              <from>
                <xdr:col>10</xdr:col>
                <xdr:colOff>23813</xdr:colOff>
                <xdr:row>1</xdr:row>
                <xdr:rowOff>671513</xdr:rowOff>
              </from>
              <to>
                <xdr:col>10</xdr:col>
                <xdr:colOff>804863</xdr:colOff>
                <xdr:row>1</xdr:row>
                <xdr:rowOff>1028700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Button 21">
          <controlPr defaultSize="0" print="0" autoFill="0" autoPict="0" macro="[0]!payEtc">
            <anchor moveWithCells="1">
              <from>
                <xdr:col>10</xdr:col>
                <xdr:colOff>23813</xdr:colOff>
                <xdr:row>1</xdr:row>
                <xdr:rowOff>1004888</xdr:rowOff>
              </from>
              <to>
                <xdr:col>10</xdr:col>
                <xdr:colOff>804863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Button 22">
          <controlPr defaultSize="0" print="0" autoFill="0" autoPict="0" macro="[0]!toggleEvents">
            <anchor moveWithCells="1">
              <from>
                <xdr:col>10</xdr:col>
                <xdr:colOff>14288</xdr:colOff>
                <xdr:row>2</xdr:row>
                <xdr:rowOff>1395413</xdr:rowOff>
              </from>
              <to>
                <xdr:col>10</xdr:col>
                <xdr:colOff>804863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B16243-FD6A-4BAF-96D6-76A9B01D4382}">
          <x14:formula1>
            <xm:f>데이터!E1:E4</xm:f>
          </x14:formula1>
          <xm:sqref>J2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E0C07-AF94-4922-A723-F6BDD8D1541C}">
  <sheetPr codeName="Sheet3"/>
  <dimension ref="A1:C4"/>
  <sheetViews>
    <sheetView workbookViewId="0"/>
  </sheetViews>
  <sheetFormatPr defaultColWidth="8.71875" defaultRowHeight="19.149999999999999" x14ac:dyDescent="0.7"/>
  <sheetData>
    <row r="1" spans="1:3" x14ac:dyDescent="0.7">
      <c r="A1" t="s">
        <v>7</v>
      </c>
      <c r="C1" t="s">
        <v>11</v>
      </c>
    </row>
    <row r="2" spans="1:3" x14ac:dyDescent="0.7">
      <c r="A2" t="s">
        <v>8</v>
      </c>
    </row>
    <row r="3" spans="1:3" x14ac:dyDescent="0.7">
      <c r="A3" t="s">
        <v>9</v>
      </c>
    </row>
    <row r="4" spans="1:3" x14ac:dyDescent="0.7">
      <c r="A4" t="s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대시보드</vt:lpstr>
      <vt:lpstr>판매내역</vt:lpstr>
      <vt:lpstr>결제창</vt:lpstr>
      <vt:lpstr>데이터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함헌규</dc:creator>
  <cp:lastModifiedBy>헌규 함</cp:lastModifiedBy>
  <dcterms:created xsi:type="dcterms:W3CDTF">2023-04-07T07:10:11Z</dcterms:created>
  <dcterms:modified xsi:type="dcterms:W3CDTF">2023-10-05T03:22:51Z</dcterms:modified>
</cp:coreProperties>
</file>